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f2cba50d375bd46/Masaüstü/"/>
    </mc:Choice>
  </mc:AlternateContent>
  <xr:revisionPtr revIDLastSave="2" documentId="11_AD4D0BC4A776854ACB15BCD59656D5B8683EDF19" xr6:coauthVersionLast="47" xr6:coauthVersionMax="47" xr10:uidLastSave="{33481433-CE81-4D0F-B846-5B3D69737835}"/>
  <bookViews>
    <workbookView xWindow="-108" yWindow="-108" windowWidth="23256" windowHeight="12456" xr2:uid="{00000000-000D-0000-FFFF-FFFF00000000}"/>
  </bookViews>
  <sheets>
    <sheet name="Summary" sheetId="1" r:id="rId1"/>
    <sheet name="RawData" sheetId="2" r:id="rId2"/>
  </sheets>
  <definedNames>
    <definedName name="TeamsFilter">RawData!$V$1:INDEX(RawData!$V:$V,COUNT(ReportData[First Team])+1)</definedName>
    <definedName name="AgentsFilter">RawData!$W$1:INDEX(RawData!$W:$W,COUNT(ReportData[First Agent])+1)</definedName>
    <definedName name="CampaignsFilter">RawData!$X$1:INDEX(RawData!$X:$X,COUNT(ReportData[First Campaign])+1)</definedName>
    <definedName name="DatesFilter">RawData!$Y$1:INDEX(RawData!$Y:$Y,COUNT(ReportData[First Date])+1)</definedName>
  </definedNames>
  <calcPr calcId="162913" calcMode="auto" fullCalcOnLoad="1" forceFullCalc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<sst xmlns="http://schemas.openxmlformats.org/spreadsheetml/2006/main" count="21" uniqueCount="21">
  <si>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Toplam Çağrı</t>
  </si>
  <si>
    <t>Ulaşılan Çağrı</t>
  </si>
  <si>
    <t>Ulaşılamayan Çağrı</t>
  </si>
  <si>
    <t>Belirsiz Çağrı</t>
  </si>
  <si>
    <t>Ulaşma Oranı</t>
  </si>
  <si>
    <t>Dönüşüm Oranı</t>
  </si>
  <si>
    <t>Ortalama Konuşma Süresi</t>
  </si>
  <si>
    <t>Ortalama Kalite Puanı</t>
  </si>
  <si>
    <t>Selamlama</t>
  </si>
  <si>
    <t>İhtiyaç Analizi</t>
  </si>
  <si>
    <t>Kapanış</t>
  </si>
  <si>
    <t>Saatlik Yoğunluk</t>
  </si>
  <si>
    <t>Saat</t>
  </si>
  <si>
    <t>Çağrı</t>
  </si>
  <si>
    <t>Filtreler</t>
  </si>
  <si>
    <t>Tüm Takımlar</t>
  </si>
  <si>
    <t>Tüm Temsilciler</t>
  </si>
  <si>
    <t>Seçili Tarihe Kadar</t>
  </si>
  <si>
    <t>Kampanyalar</t>
  </si>
  <si>
    <t>Ulaşılan</t>
  </si>
  <si>
    <t>Yüzde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</si>
</sst>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"/>
    <numFmt numFmtId="165" formatCode="0.0%"/>
    <numFmt numFmtId="166" formatCode="[h]:mm:ss"/>
    <numFmt numFmtId="167" formatCode="0.0&quot;/10&quot;"/>
    <numFmt numFmtId="168" formatCode="dd.mm.yyyy"/>
    <numFmt numFmtId="169" formatCode="dd.mm.yyyy hh:mm:ss"/>
    <numFmt numFmtId="170" formatCode="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medium">
        <color indexed="64"/>
      </right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 style="medium">
        <color indexed="64"/>
      </right>
      <top style="thick">
        <color theme="0"/>
      </top>
      <bottom/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/>
      <top style="thick">
        <color theme="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20" fontId="2" fillId="2" borderId="1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20" fontId="2" fillId="2" borderId="25" xfId="0" applyNumberFormat="1" applyFont="1" applyFill="1" applyBorder="1" applyAlignment="1">
      <alignment vertical="center"/>
    </xf>
    <xf numFmtId="20" fontId="2" fillId="2" borderId="19" xfId="0" applyNumberFormat="1" applyFont="1" applyFill="1" applyBorder="1" applyAlignment="1">
      <alignment vertical="center"/>
    </xf>
    <xf numFmtId="20" fontId="2" fillId="2" borderId="13" xfId="0" applyNumberFormat="1" applyFont="1" applyFill="1" applyBorder="1" applyAlignment="1">
      <alignment horizontal="center" vertical="center"/>
    </xf>
    <xf numFmtId="20" fontId="2" fillId="2" borderId="27" xfId="0" applyNumberFormat="1" applyFont="1" applyFill="1" applyBorder="1" applyAlignment="1">
      <alignment horizontal="center" vertical="center"/>
    </xf>
    <xf numFmtId="20" fontId="2" fillId="2" borderId="28" xfId="0" applyNumberFormat="1" applyFont="1" applyFill="1" applyBorder="1" applyAlignment="1">
      <alignment horizontal="center" vertical="center"/>
    </xf>
    <xf numFmtId="20" fontId="2" fillId="2" borderId="29" xfId="0" applyNumberFormat="1" applyFont="1" applyFill="1" applyBorder="1" applyAlignment="1">
      <alignment horizontal="center" vertical="center"/>
    </xf>
    <xf numFmtId="20" fontId="2" fillId="2" borderId="21" xfId="0" applyNumberFormat="1" applyFont="1" applyFill="1" applyBorder="1" applyAlignment="1">
      <alignment horizontal="center" vertical="center"/>
    </xf>
    <xf numFmtId="20" fontId="2" fillId="2" borderId="22" xfId="0" applyNumberFormat="1" applyFont="1" applyFill="1" applyBorder="1" applyAlignment="1">
      <alignment horizontal="center" vertical="center"/>
    </xf>
    <xf numFmtId="20" fontId="2" fillId="2" borderId="23" xfId="0" applyNumberFormat="1" applyFont="1" applyFill="1" applyBorder="1" applyAlignment="1">
      <alignment horizontal="center" vertical="center"/>
    </xf>
    <xf numFmtId="20" fontId="2" fillId="2" borderId="24" xfId="0" applyNumberFormat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64" fontId="2" fillId="2" borderId="4" xfId="0" applyFont="1" applyFill="1" applyBorder="1" applyAlignment="1" applyNumberFormat="1">
      <alignment horizontal="center" vertical="center"/>
    </xf>
    <xf numFmtId="164" fontId="2" fillId="2" borderId="10" xfId="0" applyFont="1" applyFill="1" applyBorder="1" applyAlignment="1" applyNumberFormat="1">
      <alignment horizontal="center" vertical="center"/>
    </xf>
    <xf numFmtId="164" fontId="2" fillId="2" borderId="1" xfId="0" applyFont="1" applyFill="1" applyBorder="1" applyAlignment="1" applyNumberFormat="1">
      <alignment horizontal="center" vertical="center"/>
    </xf>
    <xf numFmtId="164" fontId="2" fillId="2" borderId="5" xfId="0" applyFont="1" applyFill="1" applyBorder="1" applyAlignment="1" applyNumberFormat="1">
      <alignment horizontal="center" vertical="center"/>
    </xf>
    <xf numFmtId="165" fontId="2" fillId="2" borderId="4" xfId="0" applyFont="1" applyFill="1" applyBorder="1" applyAlignment="1" applyNumberFormat="1">
      <alignment horizontal="center" vertical="center"/>
    </xf>
    <xf numFmtId="166" fontId="2" fillId="2" borderId="1" xfId="0" applyFont="1" applyFill="1" applyBorder="1" applyAlignment="1" applyNumberFormat="1">
      <alignment horizontal="center" vertical="center"/>
    </xf>
    <xf numFmtId="167" fontId="2" fillId="2" borderId="1" xfId="0" applyFont="1" applyFill="1" applyBorder="1" applyAlignment="1" applyNumberFormat="1">
      <alignment horizontal="center" vertical="center"/>
    </xf>
    <xf numFmtId="167" fontId="2" fillId="2" borderId="10" xfId="0" applyFont="1" applyFill="1" applyBorder="1" applyAlignment="1" applyNumberFormat="1">
      <alignment horizontal="center" vertical="center"/>
    </xf>
    <xf numFmtId="167" fontId="2" fillId="2" borderId="4" xfId="0" applyFont="1" applyFill="1" applyBorder="1" applyAlignment="1" applyNumberFormat="1">
      <alignment horizontal="center" vertical="center"/>
    </xf>
    <xf numFmtId="164" fontId="2" fillId="2" borderId="25" xfId="0" applyNumberFormat="1" applyFont="1" applyFill="1" applyBorder="1" applyAlignment="1">
      <alignment vertical="center"/>
    </xf>
    <xf numFmtId="164" fontId="2" fillId="2" borderId="25" xfId="0" applyFont="1" applyFill="1" applyBorder="1" applyAlignment="1" applyNumberFormat="1">
      <alignment vertical="center"/>
    </xf>
    <xf numFmtId="165" fontId="2" fillId="2" borderId="25" xfId="0" applyFont="1" applyFill="1" applyBorder="1" applyAlignment="1" applyNumberFormat="1">
      <alignment vertical="center"/>
    </xf>
    <xf numFmtId="164" fontId="2" fillId="2" borderId="19" xfId="0" applyNumberFormat="1" applyFont="1" applyFill="1" applyBorder="1" applyAlignment="1">
      <alignment vertical="center"/>
    </xf>
    <xf numFmtId="164" fontId="2" fillId="2" borderId="19" xfId="0" applyFont="1" applyFill="1" applyBorder="1" applyAlignment="1" applyNumberFormat="1">
      <alignment vertical="center"/>
    </xf>
    <xf numFmtId="165" fontId="2" fillId="2" borderId="19" xfId="0" applyFont="1" applyFill="1" applyBorder="1" applyAlignment="1" applyNumberFormat="1">
      <alignment vertical="center"/>
    </xf>
    <xf numFmtId="164" fontId="2" fillId="2" borderId="20" xfId="0" applyFont="1" applyFill="1" applyBorder="1" applyAlignment="1" applyNumberFormat="1">
      <alignment vertical="center"/>
    </xf>
    <xf numFmtId="165" fontId="2" fillId="2" borderId="20" xfId="0" applyFont="1" applyFill="1" applyBorder="1" applyAlignment="1" applyNumberFormat="1">
      <alignment vertical="center"/>
    </xf>
    <xf numFmtId="168" fontId="2" fillId="2" borderId="1" xfId="0" applyFont="1" applyFill="1" applyBorder="1" applyAlignment="1" applyNumberFormat="1">
      <alignment horizontal="center" vertical="center"/>
    </xf>
    <xf numFmtId="169" fontId="0" fillId="0" borderId="0" xfId="0" applyNumberFormat="1"/>
    <xf numFmtId="17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x:table xmlns:x="http://schemas.openxmlformats.org/spreadsheetml/2006/main" id="1" name="ReportData" displayName="ReportData" ref="A1:Y2" headerRowCount="1" totalsRowCount="0" totalsRowShown="0">
  <x:autoFilter ref="A1:Y2"/>
  <x:tableColumns count="25">
    <x:tableColumn id="1" name="Call ID"/>
    <x:tableColumn id="2" name="Agent"/>
    <x:tableColumn id="3" name="Agent Team"/>
    <x:tableColumn id="4" name="Call Start"/>
    <x:tableColumn id="5" name="Duration"/>
    <x:tableColumn id="6" name="Result"/>
    <x:tableColumn id="7" name="Campaign"/>
    <x:tableColumn id="8" name="Rater"/>
    <x:tableColumn id="9" name="Total Score"/>
    <x:tableColumn id="10" name="Greeting Score"/>
    <x:tableColumn id="11" name="Need Analysis Score"/>
    <x:tableColumn id="12" name="Closure Score"/>
    <x:tableColumn id="13" name="Call Date">
      <x:calculatedColumnFormula>IF(ISNUMBER($D2),INT($D2),"")</x:calculatedColumnFormula>
    </x:tableColumn>
    <x:tableColumn id="14" name="Call Hour">
      <x:calculatedColumnFormula>IF(ISNUMBER($D2),HOUR($D2),"")</x:calculatedColumnFormula>
    </x:tableColumn>
    <x:tableColumn id="15" name="Reached">
      <x:calculatedColumnFormula>IF($A2="","",--OR($F2="Satış",$F2="Ret",$F2="Geri ara"))</x:calculatedColumnFormula>
    </x:tableColumn>
    <x:tableColumn id="16" name="Talk Seconds">
      <x:calculatedColumnFormula>IF(AND($O2=1,ISNUMBER($E2),$E2&gt;=0,$E2&lt;=32767),$E2,"")</x:calculatedColumnFormula>
    </x:tableColumn>
    <x:tableColumn id="17" name="Include">
      <x:calculatedColumnFormula>IF($A2="","",--AND(OR(Summary!$J$4="Tüm Takımlar",$C2=Summary!$J$4),OR(Summary!$J$7="Tüm Temsilciler",$B2=Summary!$J$7),OR(Summary!$O$7="Kampanyalar",$G2=Summary!$O$7),OR(Summary!$O$4="Seçili Tarihe Kadar",AND(ISNUMBER($D2),$D2&gt;=RawData!$AB$1,$D2&lt;RawData!$AA$1+1))))</x:calculatedColumnFormula>
    </x:tableColumn>
    <x:tableColumn id="18" name="First Team">
      <x:calculatedColumnFormula>IF(OR($A2="",$C2=""),"",IF(MATCH($C2,ReportData[Agent Team],0)=ROW()-1,ROW()-1,""))</x:calculatedColumnFormula>
    </x:tableColumn>
    <x:tableColumn id="19" name="First Agent">
      <x:calculatedColumnFormula>IF(OR($A2="",$B2=""),"",IF(MATCH($B2,ReportData[Agent],0)=ROW()-1,ROW()-1,""))</x:calculatedColumnFormula>
    </x:tableColumn>
    <x:tableColumn id="20" name="First Campaign">
      <x:calculatedColumnFormula>IF(OR($A2="",$G2=""),"",IF(MATCH($G2,ReportData[Campaign],0)=ROW()-1,ROW()-1,""))</x:calculatedColumnFormula>
    </x:tableColumn>
    <x:tableColumn id="21" name="First Date">
      <x:calculatedColumnFormula>IF(OR($A2="",$M2=""),"",IF(MATCH($M2,ReportData[Call Date],0)=ROW()-1,ROW()-1,""))</x:calculatedColumnFormula>
    </x:tableColumn>
    <x:tableColumn id="22" name="Tüm Takımlar">
      <x:calculatedColumnFormula>IF(ROW()-1&gt;COUNT(ReportData[First Team]),"",INDEX(ReportData[Agent Team],SMALL(ReportData[First Team],ROW()-1)))</x:calculatedColumnFormula>
    </x:tableColumn>
    <x:tableColumn id="23" name="Tüm Temsilciler">
      <x:calculatedColumnFormula>IF(ROW()-1&gt;COUNT(ReportData[First Agent]),"",INDEX(ReportData[Agent],SMALL(ReportData[First Agent],ROW()-1)))</x:calculatedColumnFormula>
    </x:tableColumn>
    <x:tableColumn id="24" name="Kampanyalar">
      <x:calculatedColumnFormula>IF(ROW()-1&gt;COUNT(ReportData[First Campaign]),"",INDEX(ReportData[Campaign],SMALL(ReportData[First Campaign],ROW()-1)))</x:calculatedColumnFormula>
    </x:tableColumn>
    <x:tableColumn id="25" name="Seçili Tarihe Kadar">
      <x:calculatedColumnFormula>IF(ROW()-1&gt;COUNT(ReportData[First Date]),"",TEXT(DAY(INDEX(ReportData[Call Date],SMALL(ReportData[First Date],ROW()-1))),"00")&amp;"."&amp;TEXT(MONTH(INDEX(ReportData[Call Date],SMALL(ReportData[First Date],ROW()-1))),"00")&amp;"."&amp;TEXT(YEAR(INDEX(ReportData[Call Date],SMALL(ReportData[First Date],ROW()-1))),"0000"))</x:calculatedColumnFormula>
    </x:tableColumn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677db80424450f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4"/>
  <sheetViews>
    <sheetView tabSelected="1" zoomScaleNormal="100" workbookViewId="0"/>
  </sheetViews>
  <sheetFormatPr defaultRowHeight="14.4" x14ac:dyDescent="0.3"/>
  <cols>
    <col min="1" max="1" width="0.6640625" style="1" customWidth="1"/>
    <col min="2" max="2" width="12.21875" style="1" bestFit="1" customWidth="1"/>
    <col min="3" max="3" width="0.5546875" style="1" customWidth="1"/>
    <col min="4" max="4" width="10.5546875" style="1" customWidth="1"/>
    <col min="5" max="5" width="0.6640625" style="1" customWidth="1"/>
    <col min="6" max="6" width="10.5546875" style="1" customWidth="1"/>
    <col min="7" max="7" width="0.5546875" style="1" customWidth="1"/>
    <col min="8" max="8" width="11.33203125" style="1" bestFit="1" customWidth="1"/>
    <col min="9" max="9" width="8.88671875" style="1" customWidth="1"/>
    <col min="10" max="10" width="8.88671875" style="1"/>
    <col min="11" max="11" width="8.88671875" style="1" customWidth="1"/>
    <col min="12" max="12" width="0.5546875" style="1" customWidth="1"/>
    <col min="13" max="13" width="8.88671875" style="1"/>
    <col min="14" max="14" width="0.44140625" style="1" customWidth="1"/>
    <col min="15" max="15" width="13.109375" style="1" customWidth="1"/>
    <col min="16" max="16" width="0.44140625" style="1" customWidth="1"/>
    <col min="17" max="17" width="13.109375" style="1" customWidth="1"/>
    <col min="18" max="16384" width="8.88671875" style="1"/>
  </cols>
  <sheetData>
    <row r="1" spans="2:17" ht="3.6" customHeight="1" thickBot="1" x14ac:dyDescent="0.35"/>
    <row r="2" spans="2:17" ht="14.4" customHeight="1" x14ac:dyDescent="0.3">
      <c r="B2" s="23" t="s">
        <v>0</v>
      </c>
      <c r="C2" s="24"/>
      <c r="D2" s="24"/>
      <c r="E2" s="24"/>
      <c r="F2" s="24"/>
      <c r="G2" s="24"/>
      <c r="H2" s="25"/>
      <c r="I2" s="6"/>
      <c r="J2" s="13" t="s">
        <v>14</v>
      </c>
      <c r="K2" s="13"/>
      <c r="L2" s="13"/>
      <c r="M2" s="13"/>
      <c r="N2" s="13"/>
      <c r="O2" s="13"/>
      <c r="P2" s="13"/>
      <c r="Q2" s="13"/>
    </row>
    <row r="3" spans="2:17" ht="14.4" customHeight="1" thickBot="1" x14ac:dyDescent="0.35">
      <c r="B3" s="26"/>
      <c r="C3" s="13"/>
      <c r="D3" s="13"/>
      <c r="E3" s="13"/>
      <c r="F3" s="13"/>
      <c r="G3" s="13"/>
      <c r="H3" s="27"/>
      <c r="I3" s="6"/>
      <c r="J3" s="13"/>
      <c r="K3" s="13"/>
      <c r="L3" s="13"/>
      <c r="M3" s="13"/>
      <c r="N3" s="13"/>
      <c r="O3" s="13"/>
      <c r="P3" s="13"/>
      <c r="Q3" s="13"/>
    </row>
    <row r="4" spans="2:17" ht="14.4" customHeight="1" x14ac:dyDescent="0.3">
      <c r="B4" s="66">
        <f>IF(RawData!$AD$1,COUNTIFS(ReportData[Include],1),NA())</f>
      </c>
      <c r="C4" s="21"/>
      <c r="D4" s="21"/>
      <c r="E4" s="21"/>
      <c r="F4" s="21"/>
      <c r="G4" s="21"/>
      <c r="H4" s="22"/>
      <c r="I4" s="6"/>
      <c r="J4" s="14" t="s">
        <v>15</v>
      </c>
      <c r="K4" s="18"/>
      <c r="L4" s="18"/>
      <c r="M4" s="15"/>
      <c r="O4" s="83" t="s">
        <v>17</v>
      </c>
      <c r="P4" s="18"/>
      <c r="Q4" s="15"/>
    </row>
    <row r="5" spans="2:17" ht="14.4" customHeight="1" thickBot="1" x14ac:dyDescent="0.35">
      <c r="B5" s="16"/>
      <c r="C5" s="19"/>
      <c r="D5" s="19"/>
      <c r="E5" s="19"/>
      <c r="F5" s="19"/>
      <c r="G5" s="19"/>
      <c r="H5" s="17"/>
      <c r="I5" s="6"/>
      <c r="J5" s="16"/>
      <c r="K5" s="19"/>
      <c r="L5" s="19"/>
      <c r="M5" s="17"/>
      <c r="O5" s="16"/>
      <c r="P5" s="19"/>
      <c r="Q5" s="17"/>
    </row>
    <row r="6" spans="2:17" ht="3" customHeight="1" thickBot="1" x14ac:dyDescent="0.35">
      <c r="B6" s="7"/>
      <c r="C6" s="8"/>
      <c r="D6" s="8"/>
      <c r="E6" s="8"/>
      <c r="F6" s="8"/>
      <c r="G6" s="8"/>
      <c r="H6" s="9"/>
      <c r="I6" s="6"/>
      <c r="J6" s="6"/>
      <c r="K6" s="6"/>
      <c r="L6" s="6"/>
      <c r="M6" s="6"/>
      <c r="N6" s="6"/>
      <c r="O6" s="6"/>
      <c r="P6" s="6"/>
      <c r="Q6" s="6"/>
    </row>
    <row r="7" spans="2:17" x14ac:dyDescent="0.3">
      <c r="B7" s="31" t="s">
        <v>1</v>
      </c>
      <c r="C7" s="2"/>
      <c r="D7" s="23" t="s">
        <v>2</v>
      </c>
      <c r="E7" s="24"/>
      <c r="F7" s="25"/>
      <c r="G7" s="5"/>
      <c r="H7" s="25" t="s">
        <v>3</v>
      </c>
      <c r="I7" s="6"/>
      <c r="J7" s="14" t="s">
        <v>16</v>
      </c>
      <c r="K7" s="18"/>
      <c r="L7" s="18"/>
      <c r="M7" s="15"/>
      <c r="N7" s="6"/>
      <c r="O7" s="37" t="s">
        <v>18</v>
      </c>
      <c r="P7" s="38"/>
      <c r="Q7" s="39"/>
    </row>
    <row r="8" spans="2:17" ht="15" thickBot="1" x14ac:dyDescent="0.35">
      <c r="B8" s="32"/>
      <c r="C8" s="3"/>
      <c r="D8" s="26"/>
      <c r="E8" s="13"/>
      <c r="F8" s="27"/>
      <c r="G8" s="4"/>
      <c r="H8" s="27"/>
      <c r="I8" s="6"/>
      <c r="J8" s="16"/>
      <c r="K8" s="19"/>
      <c r="L8" s="19"/>
      <c r="M8" s="17"/>
      <c r="N8" s="6"/>
      <c r="O8" s="40"/>
      <c r="P8" s="41"/>
      <c r="Q8" s="42"/>
    </row>
    <row r="9" spans="2:17" x14ac:dyDescent="0.3">
      <c r="B9" s="67">
        <f>IF(RawData!$AD$1,SUMIFS(ReportData[Reached],ReportData[Include],1),NA())</f>
      </c>
      <c r="C9" s="10"/>
      <c r="D9" s="68">
        <f>IF(RawData!$AD$1,COUNTIFS(ReportData[Include],1,ReportData[Result],"Ulaşılamadı"),NA())</f>
      </c>
      <c r="E9" s="18"/>
      <c r="F9" s="15"/>
      <c r="G9" s="11"/>
      <c r="H9" s="69">
        <f>IF(RawData!$AD$1,B4-B9-D9,NA())</f>
      </c>
      <c r="I9" s="6"/>
    </row>
    <row r="10" spans="2:17" ht="15" thickBot="1" x14ac:dyDescent="0.35">
      <c r="B10" s="34"/>
      <c r="C10" s="7"/>
      <c r="D10" s="16"/>
      <c r="E10" s="19"/>
      <c r="F10" s="17"/>
      <c r="G10" s="9"/>
      <c r="H10" s="17"/>
      <c r="I10" s="6"/>
    </row>
    <row r="11" spans="2:17" ht="3" customHeight="1" thickBot="1" x14ac:dyDescent="0.35">
      <c r="B11" s="6"/>
      <c r="C11" s="6"/>
      <c r="D11" s="6"/>
      <c r="E11" s="6"/>
      <c r="F11" s="6"/>
      <c r="G11" s="6"/>
      <c r="H11" s="6"/>
      <c r="I11" s="6"/>
    </row>
    <row r="12" spans="2:17" x14ac:dyDescent="0.3">
      <c r="B12" s="23" t="s">
        <v>4</v>
      </c>
      <c r="C12" s="24"/>
      <c r="D12" s="25"/>
      <c r="E12" s="6"/>
      <c r="F12" s="23" t="s">
        <v>5</v>
      </c>
      <c r="G12" s="24"/>
      <c r="H12" s="25"/>
      <c r="I12" s="6"/>
      <c r="J12" s="23" t="s">
        <v>11</v>
      </c>
      <c r="K12" s="24"/>
      <c r="L12" s="24"/>
      <c r="M12" s="24"/>
      <c r="N12" s="24"/>
      <c r="O12" s="24"/>
      <c r="P12" s="24"/>
      <c r="Q12" s="25"/>
    </row>
    <row r="13" spans="2:17" ht="15" thickBot="1" x14ac:dyDescent="0.35">
      <c r="B13" s="26"/>
      <c r="C13" s="13"/>
      <c r="D13" s="27"/>
      <c r="E13" s="6"/>
      <c r="F13" s="26"/>
      <c r="G13" s="13"/>
      <c r="H13" s="27"/>
      <c r="I13" s="6"/>
      <c r="J13" s="43"/>
      <c r="K13" s="44"/>
      <c r="L13" s="44"/>
      <c r="M13" s="44"/>
      <c r="N13" s="44"/>
      <c r="O13" s="44"/>
      <c r="P13" s="44"/>
      <c r="Q13" s="45"/>
    </row>
    <row r="14" spans="2:17" ht="15" thickTop="1" x14ac:dyDescent="0.3">
      <c r="B14" s="70" t="str">
        <f>IF(RawData!$AD$1,IF(B4=0,"",B9/B4),NA())</f>
      </c>
      <c r="C14" s="21"/>
      <c r="D14" s="22"/>
      <c r="E14" s="6"/>
      <c r="F14" s="70" t="str">
        <f>IF(RawData!$AD$1,IF(B9=0,"",COUNTIFS(ReportData[Include],1,ReportData[Result],"Satış")/B9),NA())</f>
      </c>
      <c r="G14" s="21"/>
      <c r="H14" s="22"/>
      <c r="I14" s="6"/>
      <c r="J14" s="53" t="s">
        <v>12</v>
      </c>
      <c r="K14" s="46"/>
      <c r="L14" s="65"/>
      <c r="M14" s="46" t="s">
        <v>13</v>
      </c>
      <c r="N14" s="6"/>
      <c r="O14" s="47" t="s">
        <v>19</v>
      </c>
      <c r="P14" s="51"/>
      <c r="Q14" s="46" t="s">
        <v>20</v>
      </c>
    </row>
    <row r="15" spans="2:17" ht="15" thickBot="1" x14ac:dyDescent="0.35">
      <c r="B15" s="16"/>
      <c r="C15" s="19"/>
      <c r="D15" s="17"/>
      <c r="E15" s="6"/>
      <c r="F15" s="16"/>
      <c r="G15" s="19"/>
      <c r="H15" s="17"/>
      <c r="I15" s="6"/>
      <c r="J15" s="26"/>
      <c r="K15" s="35"/>
      <c r="L15" s="65"/>
      <c r="M15" s="35"/>
      <c r="N15" s="6"/>
      <c r="O15" s="27"/>
      <c r="P15" s="52"/>
      <c r="Q15" s="64"/>
    </row>
    <row r="16" spans="2:17" x14ac:dyDescent="0.3">
      <c r="B16" s="6"/>
      <c r="C16" s="6"/>
      <c r="D16" s="6"/>
      <c r="E16" s="6"/>
      <c r="F16" s="6"/>
      <c r="G16" s="6"/>
      <c r="H16" s="6"/>
      <c r="I16" s="6"/>
      <c r="J16" s="58">
        <v>0.375</v>
      </c>
      <c r="K16" s="59"/>
      <c r="L16" s="56"/>
      <c r="M16" s="75">
        <f>IF(RawData!$AD$1,COUNTIFS(ReportData[Include],1,ReportData[Call Hour],HOUR(J16)),NA())</f>
      </c>
      <c r="N16" s="6"/>
      <c r="O16" s="76">
        <f>IF(RawData!$AD$1,SUMIFS(ReportData[Reached],ReportData[Include],1,ReportData[Call Hour],HOUR(J16)),NA())</f>
      </c>
      <c r="P16" s="36"/>
      <c r="Q16" s="77" t="str">
        <f>IF(RawData!$AD$1,IF(M16=0,"",O16/M16),NA())</f>
      </c>
    </row>
    <row r="17" spans="2:17" x14ac:dyDescent="0.3">
      <c r="B17" s="13" t="s">
        <v>6</v>
      </c>
      <c r="C17" s="13"/>
      <c r="D17" s="13"/>
      <c r="E17" s="13"/>
      <c r="F17" s="13"/>
      <c r="G17" s="13"/>
      <c r="H17" s="13"/>
      <c r="I17" s="6"/>
      <c r="J17" s="60">
        <v>0.41666666666666669</v>
      </c>
      <c r="K17" s="61"/>
      <c r="L17" s="12"/>
      <c r="M17" s="78">
        <f>IF(RawData!$AD$1,COUNTIFS(ReportData[Include],1,ReportData[Call Hour],HOUR(J17)),NA())</f>
      </c>
      <c r="N17" s="6"/>
      <c r="O17" s="79">
        <f>IF(RawData!$AD$1,SUMIFS(ReportData[Reached],ReportData[Include],1,ReportData[Call Hour],HOUR(J17)),NA())</f>
      </c>
      <c r="P17" s="36"/>
      <c r="Q17" s="80" t="str">
        <f>IF(RawData!$AD$1,IF(M17=0,"",O17/M17),NA())</f>
      </c>
    </row>
    <row r="18" spans="2:17" ht="15" thickBot="1" x14ac:dyDescent="0.35">
      <c r="B18" s="13"/>
      <c r="C18" s="13"/>
      <c r="D18" s="13"/>
      <c r="E18" s="13"/>
      <c r="F18" s="13"/>
      <c r="G18" s="13"/>
      <c r="H18" s="13"/>
      <c r="I18" s="6"/>
      <c r="J18" s="60">
        <v>0.45833333333333298</v>
      </c>
      <c r="K18" s="61"/>
      <c r="L18" s="12"/>
      <c r="M18" s="78">
        <f>IF(RawData!$AD$1,COUNTIFS(ReportData[Include],1,ReportData[Call Hour],HOUR(J18)),NA())</f>
      </c>
      <c r="N18" s="6"/>
      <c r="O18" s="79">
        <f>IF(RawData!$AD$1,SUMIFS(ReportData[Reached],ReportData[Include],1,ReportData[Call Hour],HOUR(J18)),NA())</f>
      </c>
      <c r="P18" s="36"/>
      <c r="Q18" s="80" t="str">
        <f>IF(RawData!$AD$1,IF(M18=0,"",O18/M18),NA())</f>
      </c>
    </row>
    <row r="19" spans="2:17" x14ac:dyDescent="0.3">
      <c r="B19" s="71" t="str">
        <f>IF(RawData!$AD$1,IF(COUNTIFS(ReportData[Include],1,ReportData[Talk Seconds],"&gt;=0",ReportData[Talk Seconds],"&lt;&gt;")=0,"",AVERAGEIFS(ReportData[Talk Seconds],ReportData[Include],1)/86400),NA())</f>
      </c>
      <c r="C19" s="18"/>
      <c r="D19" s="18"/>
      <c r="E19" s="18"/>
      <c r="F19" s="18"/>
      <c r="G19" s="18"/>
      <c r="H19" s="15"/>
      <c r="I19" s="6"/>
      <c r="J19" s="60">
        <v>0.5</v>
      </c>
      <c r="K19" s="61"/>
      <c r="L19" s="12"/>
      <c r="M19" s="78">
        <f>IF(RawData!$AD$1,COUNTIFS(ReportData[Include],1,ReportData[Call Hour],HOUR(J19)),NA())</f>
      </c>
      <c r="N19" s="6"/>
      <c r="O19" s="79">
        <f>IF(RawData!$AD$1,SUMIFS(ReportData[Reached],ReportData[Include],1,ReportData[Call Hour],HOUR(J19)),NA())</f>
      </c>
      <c r="P19" s="36"/>
      <c r="Q19" s="80" t="str">
        <f>IF(RawData!$AD$1,IF(M19=0,"",O19/M19),NA())</f>
      </c>
    </row>
    <row r="20" spans="2:17" ht="15" thickBot="1" x14ac:dyDescent="0.35">
      <c r="B20" s="16"/>
      <c r="C20" s="19"/>
      <c r="D20" s="19"/>
      <c r="E20" s="19"/>
      <c r="F20" s="19"/>
      <c r="G20" s="19"/>
      <c r="H20" s="17"/>
      <c r="I20" s="6"/>
      <c r="J20" s="60">
        <v>0.54166666666666696</v>
      </c>
      <c r="K20" s="61"/>
      <c r="L20" s="12"/>
      <c r="M20" s="78">
        <f>IF(RawData!$AD$1,COUNTIFS(ReportData[Include],1,ReportData[Call Hour],HOUR(J20)),NA())</f>
      </c>
      <c r="N20" s="6"/>
      <c r="O20" s="79">
        <f>IF(RawData!$AD$1,SUMIFS(ReportData[Reached],ReportData[Include],1,ReportData[Call Hour],HOUR(J20)),NA())</f>
      </c>
      <c r="P20" s="36"/>
      <c r="Q20" s="80" t="str">
        <f>IF(RawData!$AD$1,IF(M20=0,"",O20/M20),NA())</f>
      </c>
    </row>
    <row r="21" spans="2:17" ht="15" thickBot="1" x14ac:dyDescent="0.35">
      <c r="B21" s="6"/>
      <c r="C21" s="6"/>
      <c r="D21" s="6"/>
      <c r="E21" s="6"/>
      <c r="F21" s="6"/>
      <c r="G21" s="6"/>
      <c r="H21" s="6"/>
      <c r="I21" s="6"/>
      <c r="J21" s="60">
        <v>0.58333333333333304</v>
      </c>
      <c r="K21" s="61"/>
      <c r="L21" s="12"/>
      <c r="M21" s="78">
        <f>IF(RawData!$AD$1,COUNTIFS(ReportData[Include],1,ReportData[Call Hour],HOUR(J21)),NA())</f>
      </c>
      <c r="N21" s="6"/>
      <c r="O21" s="79">
        <f>IF(RawData!$AD$1,SUMIFS(ReportData[Reached],ReportData[Include],1,ReportData[Call Hour],HOUR(J21)),NA())</f>
      </c>
      <c r="P21" s="36"/>
      <c r="Q21" s="80" t="str">
        <f>IF(RawData!$AD$1,IF(M21=0,"",O21/M21),NA())</f>
      </c>
    </row>
    <row r="22" spans="2:17" x14ac:dyDescent="0.3">
      <c r="B22" s="23" t="s">
        <v>7</v>
      </c>
      <c r="C22" s="24"/>
      <c r="D22" s="24"/>
      <c r="E22" s="24"/>
      <c r="F22" s="24"/>
      <c r="G22" s="24"/>
      <c r="H22" s="25"/>
      <c r="I22" s="6"/>
      <c r="J22" s="60">
        <v>0.625</v>
      </c>
      <c r="K22" s="61"/>
      <c r="L22" s="12"/>
      <c r="M22" s="78">
        <f>IF(RawData!$AD$1,COUNTIFS(ReportData[Include],1,ReportData[Call Hour],HOUR(J22)),NA())</f>
      </c>
      <c r="N22" s="6"/>
      <c r="O22" s="79">
        <f>IF(RawData!$AD$1,SUMIFS(ReportData[Reached],ReportData[Include],1,ReportData[Call Hour],HOUR(J22)),NA())</f>
      </c>
      <c r="P22" s="36"/>
      <c r="Q22" s="80" t="str">
        <f>IF(RawData!$AD$1,IF(M22=0,"",O22/M22),NA())</f>
      </c>
    </row>
    <row r="23" spans="2:17" ht="15" thickBot="1" x14ac:dyDescent="0.35">
      <c r="B23" s="28"/>
      <c r="C23" s="29"/>
      <c r="D23" s="29"/>
      <c r="E23" s="29"/>
      <c r="F23" s="29"/>
      <c r="G23" s="29"/>
      <c r="H23" s="30"/>
      <c r="I23" s="6"/>
      <c r="J23" s="60">
        <v>0.66666666666666696</v>
      </c>
      <c r="K23" s="61"/>
      <c r="L23" s="12"/>
      <c r="M23" s="78">
        <f>IF(RawData!$AD$1,COUNTIFS(ReportData[Include],1,ReportData[Call Hour],HOUR(J23)),NA())</f>
      </c>
      <c r="N23" s="6"/>
      <c r="O23" s="79">
        <f>IF(RawData!$AD$1,SUMIFS(ReportData[Reached],ReportData[Include],1,ReportData[Call Hour],HOUR(J23)),NA())</f>
      </c>
      <c r="P23" s="36"/>
      <c r="Q23" s="80" t="str">
        <f>IF(RawData!$AD$1,IF(M23=0,"",O23/M23),NA())</f>
      </c>
    </row>
    <row r="24" spans="2:17" x14ac:dyDescent="0.3">
      <c r="B24" s="72" t="str">
        <f>IF(RawData!$AD$1,IF(COUNTIFS(ReportData[Include],1,ReportData[Total Score],"&gt;=0",ReportData[Total Score],"&lt;=100",ReportData[Total Score],"&lt;&gt;")=0,"",AVERAGEIFS(ReportData[Total Score],ReportData[Include],1,ReportData[Total Score],"&gt;=0",ReportData[Total Score],"&lt;=100")/10),NA())</f>
      </c>
      <c r="C24" s="18"/>
      <c r="D24" s="18"/>
      <c r="E24" s="18"/>
      <c r="F24" s="18"/>
      <c r="G24" s="18"/>
      <c r="H24" s="15"/>
      <c r="I24" s="6"/>
      <c r="J24" s="60">
        <v>0.70833333333333304</v>
      </c>
      <c r="K24" s="61"/>
      <c r="L24" s="12"/>
      <c r="M24" s="78">
        <f>IF(RawData!$AD$1,COUNTIFS(ReportData[Include],1,ReportData[Call Hour],HOUR(J24)),NA())</f>
      </c>
      <c r="N24" s="6"/>
      <c r="O24" s="79">
        <f>IF(RawData!$AD$1,SUMIFS(ReportData[Reached],ReportData[Include],1,ReportData[Call Hour],HOUR(J24)),NA())</f>
      </c>
      <c r="P24" s="36"/>
      <c r="Q24" s="80" t="str">
        <f>IF(RawData!$AD$1,IF(M24=0,"",O24/M24),NA())</f>
      </c>
    </row>
    <row r="25" spans="2:17" ht="15" thickBot="1" x14ac:dyDescent="0.35">
      <c r="B25" s="16"/>
      <c r="C25" s="19"/>
      <c r="D25" s="19"/>
      <c r="E25" s="19"/>
      <c r="F25" s="19"/>
      <c r="G25" s="19"/>
      <c r="H25" s="17"/>
      <c r="I25" s="6"/>
      <c r="J25" s="62">
        <v>0.75</v>
      </c>
      <c r="K25" s="63"/>
      <c r="L25" s="57"/>
      <c r="M25" s="81">
        <f>IF(RawData!$AD$1,COUNTIFS(ReportData[Include],1,ReportData[Call Hour],HOUR(J25)),NA())</f>
      </c>
      <c r="N25" s="8"/>
      <c r="O25" s="81">
        <f>IF(RawData!$AD$1,SUMIFS(ReportData[Reached],ReportData[Include],1,ReportData[Call Hour],HOUR(J25)),NA())</f>
      </c>
      <c r="P25" s="36"/>
      <c r="Q25" s="82" t="str">
        <f>IF(RawData!$AD$1,IF(M25=0,"",O25/M25),NA())</f>
      </c>
    </row>
    <row r="26" spans="2:17" ht="3" customHeight="1" thickBot="1" x14ac:dyDescent="0.35">
      <c r="B26" s="6"/>
      <c r="C26" s="6"/>
      <c r="D26" s="6"/>
      <c r="E26" s="6"/>
      <c r="F26" s="6"/>
      <c r="G26" s="6"/>
      <c r="H26" s="6"/>
      <c r="I26" s="6"/>
    </row>
    <row r="27" spans="2:17" x14ac:dyDescent="0.3">
      <c r="B27" s="31" t="s">
        <v>8</v>
      </c>
      <c r="C27" s="6"/>
      <c r="D27" s="23" t="s">
        <v>9</v>
      </c>
      <c r="E27" s="24"/>
      <c r="F27" s="25"/>
      <c r="G27" s="6"/>
      <c r="H27" s="31" t="s">
        <v>10</v>
      </c>
      <c r="I27" s="6"/>
      <c r="J27" s="6"/>
      <c r="K27" s="6"/>
      <c r="L27" s="6"/>
      <c r="M27" s="6"/>
      <c r="N27" s="6"/>
      <c r="O27" s="6"/>
      <c r="P27" s="6"/>
      <c r="Q27" s="6"/>
    </row>
    <row r="28" spans="2:17" x14ac:dyDescent="0.3">
      <c r="B28" s="32"/>
      <c r="C28" s="6"/>
      <c r="D28" s="26"/>
      <c r="E28" s="13"/>
      <c r="F28" s="27"/>
      <c r="G28" s="6"/>
      <c r="H28" s="32"/>
      <c r="I28" s="6"/>
      <c r="J28" s="6"/>
      <c r="K28" s="6"/>
      <c r="L28" s="6"/>
      <c r="M28" s="6"/>
      <c r="N28" s="6"/>
      <c r="O28" s="6"/>
      <c r="P28" s="6"/>
      <c r="Q28" s="6"/>
    </row>
    <row r="29" spans="2:17" x14ac:dyDescent="0.3">
      <c r="B29" s="73" t="str">
        <f>IF(RawData!$AD$1,IF(COUNTIFS(ReportData[Include],1,ReportData[Greeting Score],"&gt;=0",ReportData[Greeting Score],"&lt;=100",ReportData[Greeting Score],"&lt;&gt;")=0,"",AVERAGEIFS(ReportData[Greeting Score],ReportData[Include],1,ReportData[Greeting Score],"&gt;=0",ReportData[Greeting Score],"&lt;=100")/10),NA())</f>
      </c>
      <c r="C29" s="6"/>
      <c r="D29" s="74" t="str">
        <f>IF(RawData!$AD$1,IF(COUNTIFS(ReportData[Include],1,ReportData[Need Analysis Score],"&gt;=0",ReportData[Need Analysis Score],"&lt;=100",ReportData[Need Analysis Score],"&lt;&gt;")=0,"",AVERAGEIFS(ReportData[Need Analysis Score],ReportData[Include],1,ReportData[Need Analysis Score],"&gt;=0",ReportData[Need Analysis Score],"&lt;=100")/10),NA())</f>
      </c>
      <c r="E29" s="21"/>
      <c r="F29" s="22"/>
      <c r="G29" s="6"/>
      <c r="H29" s="73" t="str">
        <f>IF(RawData!$AD$1,IF(COUNTIFS(ReportData[Include],1,ReportData[Closure Score],"&gt;=0",ReportData[Closure Score],"&lt;=100",ReportData[Closure Score],"&lt;&gt;")=0,"",AVERAGEIFS(ReportData[Closure Score],ReportData[Include],1,ReportData[Closure Score],"&gt;=0",ReportData[Closure Score],"&lt;=100")/10),NA())</f>
      </c>
      <c r="I29" s="6"/>
      <c r="J29" s="6"/>
      <c r="K29" s="6"/>
      <c r="L29" s="6"/>
      <c r="M29" s="6"/>
      <c r="N29" s="6"/>
      <c r="O29" s="6"/>
      <c r="P29" s="6"/>
      <c r="Q29" s="6"/>
    </row>
    <row r="30" spans="2:17" ht="15" thickBot="1" x14ac:dyDescent="0.35">
      <c r="B30" s="34"/>
      <c r="C30" s="6"/>
      <c r="D30" s="16"/>
      <c r="E30" s="19"/>
      <c r="F30" s="17"/>
      <c r="G30" s="6"/>
      <c r="H30" s="34"/>
      <c r="I30" s="6"/>
      <c r="J30" s="6"/>
      <c r="K30" s="6"/>
      <c r="L30" s="6"/>
      <c r="M30" s="6"/>
      <c r="N30" s="6"/>
      <c r="O30" s="6"/>
      <c r="P30" s="6"/>
      <c r="Q30" s="6"/>
    </row>
    <row r="34" ht="3" customHeight="1" x14ac:dyDescent="0.3"/>
  </sheetData>
  <mergeCells count="43">
    <mergeCell ref="J16:K16"/>
    <mergeCell ref="Q14:Q15"/>
    <mergeCell ref="O7:Q8"/>
    <mergeCell ref="M14:M15"/>
    <mergeCell ref="O14:O15"/>
    <mergeCell ref="P14:P15"/>
    <mergeCell ref="J14:K15"/>
    <mergeCell ref="J25:K25"/>
    <mergeCell ref="J24:K24"/>
    <mergeCell ref="J23:K23"/>
    <mergeCell ref="J22:K22"/>
    <mergeCell ref="J21:K21"/>
    <mergeCell ref="J20:K20"/>
    <mergeCell ref="J19:K19"/>
    <mergeCell ref="J18:K18"/>
    <mergeCell ref="J17:K17"/>
    <mergeCell ref="B4:H5"/>
    <mergeCell ref="B17:H18"/>
    <mergeCell ref="B19:H20"/>
    <mergeCell ref="B2:H3"/>
    <mergeCell ref="B7:B8"/>
    <mergeCell ref="H7:H8"/>
    <mergeCell ref="B9:B10"/>
    <mergeCell ref="H9:H10"/>
    <mergeCell ref="D7:F8"/>
    <mergeCell ref="B29:B30"/>
    <mergeCell ref="D29:F30"/>
    <mergeCell ref="H29:H30"/>
    <mergeCell ref="D9:F10"/>
    <mergeCell ref="B12:D13"/>
    <mergeCell ref="F12:H13"/>
    <mergeCell ref="B22:H23"/>
    <mergeCell ref="B24:H25"/>
    <mergeCell ref="D27:F28"/>
    <mergeCell ref="H27:H28"/>
    <mergeCell ref="B27:B28"/>
    <mergeCell ref="B14:D15"/>
    <mergeCell ref="F14:H15"/>
    <mergeCell ref="J2:Q3"/>
    <mergeCell ref="J7:M8"/>
    <mergeCell ref="J12:Q13"/>
    <mergeCell ref="J4:M5"/>
    <mergeCell ref="O4:Q5"/>
  </mergeCells>
  <dataValidations count="4">
    <dataValidation type="list" allowBlank="0" showErrorMessage="1" showInputMessage="1" errorStyle="stop" sqref="J4" errorTitle="Geçersiz seçim" error="Listedeki değerlerden birini seçin." promptTitle="Takım" prompt="İlk seçenek tüm kayıtları kapsar. Liste RawData'dan güncellenir.">
      <formula1>TeamsFilter</formula1>
    </dataValidation>
    <dataValidation type="list" allowBlank="0" showErrorMessage="1" showInputMessage="1" errorStyle="stop" sqref="J7" errorTitle="Geçersiz seçim" error="Listedeki değerlerden birini seçin." promptTitle="Temsilci" prompt="İlk seçenek tüm kayıtları kapsar. Liste RawData'dan güncellenir.">
      <formula1>AgentsFilter</formula1>
    </dataValidation>
    <dataValidation type="list" allowBlank="0" showErrorMessage="1" showInputMessage="1" errorStyle="stop" sqref="O7" errorTitle="Geçersiz seçim" error="Listedeki değerlerden birini seçin." promptTitle="Kampanya" prompt="İlk seçenek tüm kayıtları kapsar. Liste RawData'dan güncellenir.">
      <formula1>CampaignsFilter</formula1>
    </dataValidation>
    <dataValidation type="list" allowBlank="0" showErrorMessage="0" showInputMessage="1" errorStyle="stop" sqref="O4" errorTitle="Geçersiz seçim" error="Listedeki değerlerden birini seçin." promptTitle="Tarih filtresi" prompt="Listeden bitiş günü seçebilir veya gg.aa.yyyy–gg.aa.yyyy aralığı yazabilirsiniz. gg.aa.yyyy+ başlangıçtan sonrasıdır. İlk seçenek tüm tarihlerdir.">
      <formula1>DatesFilter</formula1>
    </dataValidation>
  </dataValidations>
  <pageMargins left="0.7" right="0.7" top="0.75" bottom="0.75" header="0.3" footer="0.3"/>
</worksheet>
</file>

<file path=xl/worksheets/sheet2.xml><?xml version="1.0" encoding="utf-8"?>
<x:worksheet xmlns:x="http://schemas.openxmlformats.org/spreadsheetml/2006/main">
  <x:dimension ref="A1:AD2"/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16" customWidth="1"/>
    <x:col min="2" max="2" width="27" customWidth="1"/>
    <x:col min="3" max="3" width="20" customWidth="1"/>
    <x:col min="4" max="4" width="24" customWidth="1"/>
    <x:col min="5" max="5" width="12" customWidth="1"/>
    <x:col min="6" max="6" width="19" customWidth="1"/>
    <x:col min="7" max="7" width="26" customWidth="1"/>
    <x:col min="8" max="8" width="24" customWidth="1"/>
    <x:col min="9" max="9" width="16" customWidth="1"/>
    <x:col min="10" max="10" width="18" customWidth="1"/>
    <x:col min="11" max="11" width="23" customWidth="1"/>
    <x:col min="12" max="12" width="18" customWidth="1"/>
    <x:col min="13" max="30" width="14" customWidth="1" hidden="1"/>
  </x:cols>
  <x:sheetData>
    <x:row r="1">
      <x:c r="A1" t="str">
        <x:v>Call ID</x:v>
      </x:c>
      <x:c r="B1" t="str">
        <x:v>Agent</x:v>
      </x:c>
      <x:c r="C1" t="str">
        <x:v>Agent Team</x:v>
      </x:c>
      <x:c r="D1" t="str">
        <x:v>Call Start</x:v>
      </x:c>
      <x:c r="E1" t="str">
        <x:v>Duration</x:v>
      </x:c>
      <x:c r="F1" t="str">
        <x:v>Result</x:v>
      </x:c>
      <x:c r="G1" t="str">
        <x:v>Campaign</x:v>
      </x:c>
      <x:c r="H1" t="str">
        <x:v>Rater</x:v>
      </x:c>
      <x:c r="I1" t="str">
        <x:v>Total Score</x:v>
      </x:c>
      <x:c r="J1" t="str">
        <x:v>Greeting Score</x:v>
      </x:c>
      <x:c r="K1" t="str">
        <x:v>Need Analysis Score</x:v>
      </x:c>
      <x:c r="L1" t="str">
        <x:v>Closure Score</x:v>
      </x:c>
      <x:c r="M1" t="str">
        <x:v>Call Date</x:v>
      </x:c>
      <x:c r="N1" t="str">
        <x:v>Call Hour</x:v>
      </x:c>
      <x:c r="O1" t="str">
        <x:v>Reached</x:v>
      </x:c>
      <x:c r="P1" t="str">
        <x:v>Talk Seconds</x:v>
      </x:c>
      <x:c r="Q1" t="str">
        <x:v>Include</x:v>
      </x:c>
      <x:c r="R1" t="str">
        <x:v>First Team</x:v>
      </x:c>
      <x:c r="S1" t="str">
        <x:v>First Agent</x:v>
      </x:c>
      <x:c r="T1" t="str">
        <x:v>First Campaign</x:v>
      </x:c>
      <x:c r="U1" t="str">
        <x:v>First Date</x:v>
      </x:c>
      <x:c r="V1" t="str">
        <x:v>Tüm Takımlar</x:v>
      </x:c>
      <x:c r="W1" t="str">
        <x:v>Tüm Temsilciler</x:v>
      </x:c>
      <x:c r="X1" t="str">
        <x:v>Kampanyalar</x:v>
      </x:c>
      <x:c r="Y1" t="str">
        <x:v>Seçili Tarihe Kadar</x:v>
      </x:c>
      <x:c r="AA1">
        <x:f>IF(OR(Summary!$O$4="Seçili Tarihe Kadar",RIGHT($AC$1,1)="+"),2958465,IF(ISNUMBER(Summary!$O$4),INT(Summary!$O$4),DATE(VALUE(RIGHT(RIGHT($AC$1,10),4)),VALUE(MID(RIGHT($AC$1,10),4,2)),VALUE(LEFT(RIGHT($AC$1,10),2)))))</x:f>
      </x:c>
      <x:c r="AB1">
        <x:f>IF(OR(LEN($AC$1)=21,RIGHT($AC$1,1)="+"),DATE(VALUE(RIGHT(LEFT($AC$1,10),4)),VALUE(MID(LEFT($AC$1,10),4,2)),VALUE(LEFT(LEFT($AC$1,10),2))),0)</x:f>
      </x:c>
      <x:c r="AC1">
        <x:f>SUBSTITUTE(SUBSTITUTE(TRIM(Summary!$O$4)," ",""),"-","–")</x:f>
      </x:c>
      <x:c r="AD1">
        <x:f>IFERROR(IF(Summary!$O$4="Seçili Tarihe Kadar",TRUE,IF(ISNUMBER(Summary!$O$4),AND(Summary!$O$4&gt;=1,Summary!$O$4&lt;=2958465),IF(LEN($AC$1)=10,AND(LEN($AC$1)=10,TEXT(DAY(DATE(VALUE(RIGHT($AC$1,4)),VALUE(MID($AC$1,4,2)),VALUE(LEFT($AC$1,2)))),"00")&amp;"."&amp;TEXT(MONTH(DATE(VALUE(RIGHT($AC$1,4)),VALUE(MID($AC$1,4,2)),VALUE(LEFT($AC$1,2)))),"00")&amp;"."&amp;TEXT(YEAR(DATE(VALUE(RIGHT($AC$1,4)),VALUE(MID($AC$1,4,2)),VALUE(LEFT($AC$1,2)))),"0000")=$AC$1,DATE(VALUE(RIGHT($AC$1,4)),VALUE(MID($AC$1,4,2)),VALUE(LEFT($AC$1,2)))&gt;=1),IF(AND(LEN($AC$1)=11,RIGHT($AC$1,1)="+"),AND(LEN(LEFT($AC$1,10))=10,TEXT(DAY(DATE(VALUE(RIGHT(LEFT($AC$1,10),4)),VALUE(MID(LEFT($AC$1,10),4,2)),VALUE(LEFT(LEFT($AC$1,10),2)))),"00")&amp;"."&amp;TEXT(MONTH(DATE(VALUE(RIGHT(LEFT($AC$1,10),4)),VALUE(MID(LEFT($AC$1,10),4,2)),VALUE(LEFT(LEFT($AC$1,10),2)))),"00")&amp;"."&amp;TEXT(YEAR(DATE(VALUE(RIGHT(LEFT($AC$1,10),4)),VALUE(MID(LEFT($AC$1,10),4,2)),VALUE(LEFT(LEFT($AC$1,10),2)))),"0000")=LEFT($AC$1,10),DATE(VALUE(RIGHT(LEFT($AC$1,10),4)),VALUE(MID(LEFT($AC$1,10),4,2)),VALUE(LEFT(LEFT($AC$1,10),2)))&gt;=1),IF(AND(LEN($AC$1)=21,MID($AC$1,11,1)="–"),AND(AND(LEN(LEFT($AC$1,10))=10,TEXT(DAY(DATE(VALUE(RIGHT(LEFT($AC$1,10),4)),VALUE(MID(LEFT($AC$1,10),4,2)),VALUE(LEFT(LEFT($AC$1,10),2)))),"00")&amp;"."&amp;TEXT(MONTH(DATE(VALUE(RIGHT(LEFT($AC$1,10),4)),VALUE(MID(LEFT($AC$1,10),4,2)),VALUE(LEFT(LEFT($AC$1,10),2)))),"00")&amp;"."&amp;TEXT(YEAR(DATE(VALUE(RIGHT(LEFT($AC$1,10),4)),VALUE(MID(LEFT($AC$1,10),4,2)),VALUE(LEFT(LEFT($AC$1,10),2)))),"0000")=LEFT($AC$1,10),DATE(VALUE(RIGHT(LEFT($AC$1,10),4)),VALUE(MID(LEFT($AC$1,10),4,2)),VALUE(LEFT(LEFT($AC$1,10),2)))&gt;=1),AND(LEN(RIGHT($AC$1,10))=10,TEXT(DAY(DATE(VALUE(RIGHT(RIGHT($AC$1,10),4)),VALUE(MID(RIGHT($AC$1,10),4,2)),VALUE(LEFT(RIGHT($AC$1,10),2)))),"00")&amp;"."&amp;TEXT(MONTH(DATE(VALUE(RIGHT(RIGHT($AC$1,10),4)),VALUE(MID(RIGHT($AC$1,10),4,2)),VALUE(LEFT(RIGHT($AC$1,10),2)))),"00")&amp;"."&amp;TEXT(YEAR(DATE(VALUE(RIGHT(RIGHT($AC$1,10),4)),VALUE(MID(RIGHT($AC$1,10),4,2)),VALUE(LEFT(RIGHT($AC$1,10),2)))),"0000")=RIGHT($AC$1,10),DATE(VALUE(RIGHT(RIGHT($AC$1,10),4)),VALUE(MID(RIGHT($AC$1,10),4,2)),VALUE(LEFT(RIGHT($AC$1,10),2)))&gt;=1),$AB$1&lt;=$AA$1),FALSE))))),FALSE)</x:f>
      </x:c>
    </x:row>
    <x:row r="2">
      <x:c r="A2"/>
      <x:c r="B2"/>
      <x:c r="C2"/>
      <x:c r="D2" s="84"/>
      <x:c r="E2"/>
      <x:c r="F2"/>
      <x:c r="G2"/>
      <x:c r="H2"/>
      <x:c r="I2" s="85"/>
      <x:c r="J2" s="85"/>
      <x:c r="K2" s="85"/>
      <x:c r="L2" s="85"/>
      <x:c r="M2" s="86" t="str">
        <x:f>IF(ISNUMBER($D2),INT($D2),"")</x:f>
        <x:v/>
      </x:c>
      <x:c r="N2" t="str">
        <x:f>IF(ISNUMBER($D2),HOUR($D2),"")</x:f>
        <x:v/>
      </x:c>
      <x:c r="O2" t="str">
        <x:f>IF($A2="","",--OR($F2="Satış",$F2="Ret",$F2="Geri ara"))</x:f>
        <x:v/>
      </x:c>
      <x:c r="P2" t="str">
        <x:f>IF(AND($O2=1,ISNUMBER($E2),$E2&gt;=0,$E2&lt;=32767),$E2,"")</x:f>
        <x:v/>
      </x:c>
      <x:c r="Q2" t="str">
        <x:f>IF($A2="","",--AND(OR(Summary!$J$4="Tüm Takımlar",$C2=Summary!$J$4),OR(Summary!$J$7="Tüm Temsilciler",$B2=Summary!$J$7),OR(Summary!$O$7="Kampanyalar",$G2=Summary!$O$7),OR(Summary!$O$4="Seçili Tarihe Kadar",AND(ISNUMBER($D2),$D2&gt;=RawData!$AB$1,$D2&lt;RawData!$AA$1+1))))</x:f>
        <x:v/>
      </x:c>
      <x:c r="R2" t="str">
        <x:f>IF(OR($A2="",$C2=""),"",IF(MATCH($C2,ReportData[Agent Team],0)=ROW()-1,ROW()-1,""))</x:f>
        <x:v/>
      </x:c>
      <x:c r="S2" t="str">
        <x:f>IF(OR($A2="",$B2=""),"",IF(MATCH($B2,ReportData[Agent],0)=ROW()-1,ROW()-1,""))</x:f>
        <x:v/>
      </x:c>
      <x:c r="T2" t="str">
        <x:f>IF(OR($A2="",$G2=""),"",IF(MATCH($G2,ReportData[Campaign],0)=ROW()-1,ROW()-1,""))</x:f>
        <x:v/>
      </x:c>
      <x:c r="U2" t="str">
        <x:f>IF(OR($A2="",$M2=""),"",IF(MATCH($M2,ReportData[Call Date],0)=ROW()-1,ROW()-1,""))</x:f>
        <x:v/>
      </x:c>
      <x:c r="V2" t="str">
        <x:f>IF(ROW()-1&gt;COUNT(ReportData[First Team]),"",INDEX(ReportData[Agent Team],SMALL(ReportData[First Team],ROW()-1)))</x:f>
        <x:v/>
      </x:c>
      <x:c r="W2" t="str">
        <x:f>IF(ROW()-1&gt;COUNT(ReportData[First Agent]),"",INDEX(ReportData[Agent],SMALL(ReportData[First Agent],ROW()-1)))</x:f>
        <x:v/>
      </x:c>
      <x:c r="X2" t="str">
        <x:f>IF(ROW()-1&gt;COUNT(ReportData[First Campaign]),"",INDEX(ReportData[Campaign],SMALL(ReportData[First Campaign],ROW()-1)))</x:f>
        <x:v/>
      </x:c>
      <x:c r="Y2" t="str">
        <x:f>IF(ROW()-1&gt;COUNT(ReportData[First Date]),"",TEXT(DAY(INDEX(ReportData[Call Date],SMALL(ReportData[First Date],ROW()-1))),"00")&amp;"."&amp;TEXT(MONTH(INDEX(ReportData[Call Date],SMALL(ReportData[First Date],ROW()-1))),"00")&amp;"."&amp;TEXT(YEAR(INDEX(ReportData[Call Date],SMALL(ReportData[First Date],ROW()-1))),"0000"))</x:f>
        <x:v/>
      </x:c>
    </x:row>
  </x:sheetData>
  <x:pageMargins left="0.7" right="0.7" top="0.75" bottom="0.75" header="0.3" footer="0.3"/>
  <x:tableParts count="1">
    <x:tablePart xmlns:r="http://schemas.openxmlformats.org/officeDocument/2006/relationships" r:id="Rc8677db80424450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Summary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 Tuana Güleç</dc:creator>
  <cp:lastModifiedBy>Ata Tuana Güleç</cp:lastModifiedBy>
  <dcterms:created xsi:type="dcterms:W3CDTF">2015-06-05T18:19:34Z</dcterms:created>
  <dcterms:modified xsi:type="dcterms:W3CDTF">2026-10-30T04:34:04Z</dcterms:modified>
</cp:coreProperties>
</file>